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a Interpretation project\"/>
    </mc:Choice>
  </mc:AlternateContent>
  <bookViews>
    <workbookView xWindow="0" yWindow="0" windowWidth="20490" windowHeight="7185" activeTab="3"/>
  </bookViews>
  <sheets>
    <sheet name="Raw_Data" sheetId="1" r:id="rId1"/>
    <sheet name="Categories" sheetId="2" r:id="rId2"/>
    <sheet name="Summary" sheetId="3" r:id="rId3"/>
    <sheet name="Dashboard" sheetId="4" r:id="rId4"/>
    <sheet name="Insights" sheetId="5" r:id="rId5"/>
  </sheets>
  <calcPr calcId="162913"/>
</workbook>
</file>

<file path=xl/calcChain.xml><?xml version="1.0" encoding="utf-8"?>
<calcChain xmlns="http://schemas.openxmlformats.org/spreadsheetml/2006/main">
  <c r="B3" i="3" l="1"/>
  <c r="E3" i="3"/>
  <c r="B4" i="3"/>
  <c r="B5" i="3" s="1"/>
  <c r="E4" i="3"/>
  <c r="E5" i="3" s="1"/>
  <c r="E27" i="4"/>
  <c r="E28" i="4"/>
  <c r="E29" i="4"/>
  <c r="E30" i="4"/>
  <c r="E31" i="4"/>
  <c r="D31" i="4"/>
  <c r="D30" i="4"/>
  <c r="D29" i="4"/>
  <c r="D28" i="4"/>
  <c r="F28" i="4" s="1"/>
  <c r="D27" i="4"/>
  <c r="D5" i="4"/>
  <c r="D4" i="4"/>
  <c r="D3" i="4"/>
  <c r="E9" i="1"/>
  <c r="E18" i="1"/>
  <c r="O18" i="1"/>
  <c r="O9" i="1"/>
  <c r="F30" i="4" l="1"/>
  <c r="F27" i="4"/>
  <c r="B6" i="3"/>
  <c r="B7" i="3" s="1"/>
  <c r="E6" i="3"/>
  <c r="E7" i="3" s="1"/>
  <c r="F31" i="4"/>
  <c r="F29" i="4"/>
</calcChain>
</file>

<file path=xl/sharedStrings.xml><?xml version="1.0" encoding="utf-8"?>
<sst xmlns="http://schemas.openxmlformats.org/spreadsheetml/2006/main" count="221" uniqueCount="64">
  <si>
    <t>Date</t>
  </si>
  <si>
    <t>Student_Name</t>
  </si>
  <si>
    <t>Category</t>
  </si>
  <si>
    <t>Sub_Category</t>
  </si>
  <si>
    <t>Amount</t>
  </si>
  <si>
    <t>Payment_Mode</t>
  </si>
  <si>
    <t>Notes</t>
  </si>
  <si>
    <t>Food</t>
  </si>
  <si>
    <t>Zomato</t>
  </si>
  <si>
    <t>Mess</t>
  </si>
  <si>
    <t>Transport</t>
  </si>
  <si>
    <t>Auto</t>
  </si>
  <si>
    <t>Bus</t>
  </si>
  <si>
    <t>Education</t>
  </si>
  <si>
    <t>Books</t>
  </si>
  <si>
    <t>Entertainment</t>
  </si>
  <si>
    <t>Movies</t>
  </si>
  <si>
    <t>Shopping</t>
  </si>
  <si>
    <t>Clothes</t>
  </si>
  <si>
    <t>Bills</t>
  </si>
  <si>
    <t>Electricity</t>
  </si>
  <si>
    <t>Total Spending</t>
  </si>
  <si>
    <t>Kishan</t>
  </si>
  <si>
    <t>UPI</t>
  </si>
  <si>
    <t>Dinner</t>
  </si>
  <si>
    <t>Cash</t>
  </si>
  <si>
    <t>College</t>
  </si>
  <si>
    <t>Card</t>
  </si>
  <si>
    <t>Lunch</t>
  </si>
  <si>
    <t>Hostel</t>
  </si>
  <si>
    <t>Travel</t>
  </si>
  <si>
    <t>Jeans</t>
  </si>
  <si>
    <t>Movie</t>
  </si>
  <si>
    <t>Study</t>
  </si>
  <si>
    <t>Shirt</t>
  </si>
  <si>
    <t xml:space="preserve">Month </t>
  </si>
  <si>
    <t>April</t>
  </si>
  <si>
    <t>March</t>
  </si>
  <si>
    <t>Total</t>
  </si>
  <si>
    <t>Kashish</t>
  </si>
  <si>
    <t>Month</t>
  </si>
  <si>
    <t>Growth</t>
  </si>
  <si>
    <t>Insights</t>
  </si>
  <si>
    <t xml:space="preserve">Advice for Kishan </t>
  </si>
  <si>
    <t>Monitor spendiing</t>
  </si>
  <si>
    <t>Reduce unnecessary expenses</t>
  </si>
  <si>
    <t>Advice for Kashish</t>
  </si>
  <si>
    <t>A</t>
  </si>
  <si>
    <t>B</t>
  </si>
  <si>
    <t>Top Spender</t>
  </si>
  <si>
    <t>Highest Growth</t>
  </si>
  <si>
    <t>Student</t>
  </si>
  <si>
    <t>April Spending</t>
  </si>
  <si>
    <t xml:space="preserve">    Kishan Spending Intelligence Dashboard</t>
  </si>
  <si>
    <t xml:space="preserve">   Kashish Spending Intelligence Dashboard</t>
  </si>
  <si>
    <t>INSIGHTS</t>
  </si>
  <si>
    <t>• Kashish shows high spending increase (47%)</t>
  </si>
  <si>
    <t>• Kishan shows stable spending (3%)</t>
  </si>
  <si>
    <t>• Shopping &amp; Bills are major expenses</t>
  </si>
  <si>
    <t>• Suggest reducing unnecessary spending</t>
  </si>
  <si>
    <t>Online Food</t>
  </si>
  <si>
    <t xml:space="preserve">                         Kashish's Monthly Expenses</t>
  </si>
  <si>
    <t xml:space="preserve">           Kishan's Monthly Expenses</t>
  </si>
  <si>
    <t>Kashish's Monthly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</si>
</sst>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Algerian"/>
      <family val="5"/>
    </font>
    <font>
      <b/>
      <sz val="22"/>
      <color theme="1"/>
      <name val="Cambria"/>
      <family val="1"/>
      <scheme val="major"/>
    </font>
    <font>
      <u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sz val="14"/>
      <color theme="1"/>
      <name val="Arial Black"/>
      <family val="2"/>
    </font>
    <font>
      <u/>
      <sz val="18"/>
      <name val="Arial Black"/>
      <family val="2"/>
    </font>
    <font>
      <u/>
      <sz val="18"/>
      <color theme="2" tint="-0.749992370372631"/>
      <name val="Arial Black"/>
      <family val="2"/>
    </font>
    <font>
      <sz val="16"/>
      <color theme="1"/>
      <name val="Arial"/>
      <family val="2"/>
    </font>
    <font>
      <sz val="22"/>
      <color theme="1"/>
      <name val="Arial Black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Arial Narrow"/>
      <family val="2"/>
    </font>
    <font>
      <sz val="14"/>
      <color theme="1"/>
      <name val="Arial"/>
      <family val="2"/>
    </font>
    <font>
      <b/>
      <sz val="12"/>
      <color theme="1"/>
      <name val="Arial"/>
      <family val="2"/>
    </font>
    <font>
      <sz val="18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4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7" fillId="0" borderId="0" xfId="0" applyFont="1" applyAlignment="1">
      <alignment horizontal="center" vertical="center" wrapText="1"/>
    </xf>
    <xf numFmtId="14" fontId="7" fillId="0" borderId="0" xfId="0" applyNumberFormat="1" applyFont="1" applyAlignment="1">
      <alignment horizontal="center" vertical="center" wrapText="1"/>
    </xf>
    <xf numFmtId="0" fontId="7" fillId="0" borderId="0" xfId="0" applyFont="1"/>
    <xf numFmtId="0" fontId="7" fillId="5" borderId="0" xfId="0" applyFont="1" applyFill="1" applyAlignment="1">
      <alignment horizontal="center" vertical="center" wrapText="1"/>
    </xf>
    <xf numFmtId="0" fontId="7" fillId="5" borderId="0" xfId="0" applyFont="1" applyFill="1"/>
    <xf numFmtId="0" fontId="7" fillId="0" borderId="0" xfId="0" applyFont="1" applyAlignment="1">
      <alignment horizontal="center"/>
    </xf>
    <xf numFmtId="0" fontId="7" fillId="5" borderId="0" xfId="0" applyFont="1" applyFill="1" applyAlignment="1">
      <alignment horizontal="center"/>
    </xf>
    <xf numFmtId="0" fontId="7" fillId="0" borderId="0" xfId="0" applyFont="1" applyAlignment="1"/>
    <xf numFmtId="0" fontId="8" fillId="0" borderId="0" xfId="0" applyFont="1" applyAlignment="1">
      <alignment horizontal="center" vertical="center" wrapText="1"/>
    </xf>
    <xf numFmtId="0" fontId="6" fillId="0" borderId="0" xfId="0" applyFont="1"/>
    <xf numFmtId="0" fontId="0" fillId="0" borderId="0" xfId="0" applyAlignment="1">
      <alignment horizontal="left"/>
    </xf>
    <xf numFmtId="0" fontId="3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0" fillId="0" borderId="0" xfId="0" applyAlignment="1">
      <alignment vertical="top"/>
    </xf>
    <xf numFmtId="0" fontId="14" fillId="0" borderId="0" xfId="0" applyFont="1" applyAlignment="1">
      <alignment horizontal="center"/>
    </xf>
    <xf numFmtId="9" fontId="14" fillId="0" borderId="0" xfId="1" applyFont="1" applyAlignment="1">
      <alignment horizontal="center"/>
    </xf>
    <xf numFmtId="0" fontId="15" fillId="0" borderId="0" xfId="0" applyFont="1" applyAlignment="1">
      <alignment horizontal="center"/>
    </xf>
    <xf numFmtId="9" fontId="15" fillId="0" borderId="0" xfId="1" applyFont="1" applyAlignment="1">
      <alignment horizontal="center"/>
    </xf>
    <xf numFmtId="0" fontId="15" fillId="0" borderId="0" xfId="0" applyFont="1" applyAlignment="1">
      <alignment horizontal="center" wrapText="1"/>
    </xf>
    <xf numFmtId="0" fontId="9" fillId="6" borderId="0" xfId="0" applyFont="1" applyFill="1"/>
    <xf numFmtId="0" fontId="0" fillId="6" borderId="0" xfId="0" applyFill="1"/>
    <xf numFmtId="0" fontId="9" fillId="2" borderId="0" xfId="0" applyFont="1" applyFill="1" applyAlignment="1">
      <alignment horizontal="left" indent="3"/>
    </xf>
    <xf numFmtId="0" fontId="15" fillId="3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4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7" fillId="0" borderId="2" xfId="0" applyFont="1" applyBorder="1"/>
    <xf numFmtId="0" fontId="14" fillId="3" borderId="2" xfId="0" applyFont="1" applyFill="1" applyBorder="1" applyAlignment="1">
      <alignment horizontal="center" vertical="center" wrapText="1"/>
    </xf>
    <xf numFmtId="0" fontId="14" fillId="3" borderId="2" xfId="0" applyFont="1" applyFill="1" applyBorder="1"/>
    <xf numFmtId="0" fontId="17" fillId="0" borderId="2" xfId="0" applyFont="1" applyBorder="1" applyAlignment="1">
      <alignment horizontal="center"/>
    </xf>
    <xf numFmtId="0" fontId="18" fillId="3" borderId="2" xfId="0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0" fontId="11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14" fillId="5" borderId="0" xfId="0" applyFont="1" applyFill="1"/>
    <xf numFmtId="0" fontId="16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   </a:t>
            </a:r>
            <a:r>
              <a:rPr lang="en-IN" sz="1800"/>
              <a:t>Student Spending Intelligence Dashboard</a:t>
            </a:r>
          </a:p>
        </c:rich>
      </c:tx>
      <c:layout>
        <c:manualLayout>
          <c:xMode val="edge"/>
          <c:yMode val="edge"/>
          <c:x val="0.1100901137357830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Dashboard!$I$4</c:f>
              <c:strCache>
                <c:ptCount val="1"/>
                <c:pt idx="0">
                  <c:v>Kishan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Dashboard!$J$4</c:f>
              <c:numCache>
                <c:formatCode>General</c:formatCode>
                <c:ptCount val="1"/>
                <c:pt idx="0">
                  <c:v>2810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9F-4604-9231-EABC17AFAD24}"/>
            </c:ext>
          </c:extLst>
        </c:ser>
        <c:ser>
          <c:idx val="1"/>
          <c:order val="1"/>
          <c:tx>
            <c:strRef>
              <c:f>Dashboard!$I$5</c:f>
              <c:strCache>
                <c:ptCount val="1"/>
                <c:pt idx="0">
                  <c:v>Kashish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Dashboard!$J$5</c:f>
              <c:numCache>
                <c:formatCode>General</c:formatCode>
                <c:ptCount val="1"/>
                <c:pt idx="0">
                  <c:v>2960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9F-4604-9231-EABC17AFAD2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754289199"/>
        <c:axId val="1754289615"/>
      </c:barChart>
      <c:catAx>
        <c:axId val="17542891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289615"/>
        <c:crosses val="autoZero"/>
        <c:auto val="1"/>
        <c:lblAlgn val="ctr"/>
        <c:lblOffset val="100"/>
        <c:noMultiLvlLbl val="0"/>
      </c:catAx>
      <c:valAx>
        <c:axId val="175428961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289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👉 </a:t>
            </a:r>
            <a:r>
              <a:rPr lang="en-IN" sz="1400" b="1" i="0" u="none" strike="noStrike" baseline="0"/>
              <a:t>Monthly Spending Trend</a:t>
            </a:r>
            <a:endParaRPr lang="en-IN"/>
          </a:p>
        </c:rich>
      </c:tx>
      <c:layout>
        <c:manualLayout>
          <c:xMode val="edge"/>
          <c:yMode val="edge"/>
          <c:x val="0.2567152230971129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Dashboard!$I$14</c:f>
              <c:strCache>
                <c:ptCount val="1"/>
                <c:pt idx="0">
                  <c:v>Kishan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Dashboard!$H$15:$H$18</c:f>
              <c:strCache>
                <c:ptCount val="2"/>
                <c:pt idx="0">
                  <c:v>March</c:v>
                </c:pt>
                <c:pt idx="1">
                  <c:v>April</c:v>
                </c:pt>
              </c:strCache>
            </c:strRef>
          </c:cat>
          <c:val>
            <c:numRef>
              <c:f>Dashboard!$I$15:$I$18</c:f>
              <c:numCache>
                <c:formatCode>General</c:formatCode>
                <c:ptCount val="4"/>
                <c:pt idx="0">
                  <c:v>2720</c:v>
                </c:pt>
                <c:pt idx="1">
                  <c:v>2810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9D-4135-84A4-38644F2CA9DC}"/>
            </c:ext>
          </c:extLst>
        </c:ser>
        <c:ser>
          <c:idx val="1"/>
          <c:order val="1"/>
          <c:tx>
            <c:strRef>
              <c:f>Dashboard!$J$14</c:f>
              <c:strCache>
                <c:ptCount val="1"/>
                <c:pt idx="0">
                  <c:v>Kashish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Dashboard!$H$15:$H$18</c:f>
              <c:strCache>
                <c:ptCount val="2"/>
                <c:pt idx="0">
                  <c:v>March</c:v>
                </c:pt>
                <c:pt idx="1">
                  <c:v>April</c:v>
                </c:pt>
              </c:strCache>
            </c:strRef>
          </c:cat>
          <c:val>
            <c:numRef>
              <c:f>Dashboard!$J$15:$J$18</c:f>
              <c:numCache>
                <c:formatCode>General</c:formatCode>
                <c:ptCount val="4"/>
                <c:pt idx="0">
                  <c:v>2020</c:v>
                </c:pt>
                <c:pt idx="1">
                  <c:v>2960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9D-4135-84A4-38644F2CA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0494367"/>
        <c:axId val="2030490207"/>
      </c:barChart>
      <c:catAx>
        <c:axId val="2030494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490207"/>
        <c:crosses val="autoZero"/>
        <c:auto val="1"/>
        <c:lblAlgn val="ctr"/>
        <c:lblOffset val="100"/>
        <c:noMultiLvlLbl val="0"/>
      </c:catAx>
      <c:valAx>
        <c:axId val="2030490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494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Spending</a:t>
            </a:r>
            <a:r>
              <a:rPr lang="en-IN" baseline="0"/>
              <a:t> by Category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Dashboard!$D$25:$D$26</c:f>
              <c:strCache>
                <c:ptCount val="2"/>
                <c:pt idx="1">
                  <c:v>Kishan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Dashboard!$B$27:$C$32</c:f>
              <c:strCache>
                <c:ptCount val="5"/>
                <c:pt idx="0">
                  <c:v>Food</c:v>
                </c:pt>
                <c:pt idx="1">
                  <c:v>Transport</c:v>
                </c:pt>
                <c:pt idx="2">
                  <c:v>Shopping</c:v>
                </c:pt>
                <c:pt idx="3">
                  <c:v>Bills</c:v>
                </c:pt>
                <c:pt idx="4">
                  <c:v>Education</c:v>
                </c:pt>
              </c:strCache>
            </c:strRef>
          </c:cat>
          <c:val>
            <c:numRef>
              <c:f>Dashboard!$D$27:$D$32</c:f>
              <c:numCache>
                <c:formatCode>General</c:formatCode>
                <c:ptCount val="6"/>
                <c:pt idx="0">
                  <c:v>630</c:v>
                </c:pt>
                <c:pt idx="1">
                  <c:v>350</c:v>
                </c:pt>
                <c:pt idx="2">
                  <c:v>2150</c:v>
                </c:pt>
                <c:pt idx="3">
                  <c:v>1300</c:v>
                </c:pt>
                <c:pt idx="4">
                  <c:v>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28-4D57-BF6D-8E036A4D337D}"/>
            </c:ext>
          </c:extLst>
        </c:ser>
        <c:ser>
          <c:idx val="1"/>
          <c:order val="1"/>
          <c:tx>
            <c:strRef>
              <c:f>Dashboard!$E$25:$E$26</c:f>
              <c:strCache>
                <c:ptCount val="2"/>
                <c:pt idx="1">
                  <c:v>Kashish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Dashboard!$B$27:$C$32</c:f>
              <c:strCache>
                <c:ptCount val="5"/>
                <c:pt idx="0">
                  <c:v>Food</c:v>
                </c:pt>
                <c:pt idx="1">
                  <c:v>Transport</c:v>
                </c:pt>
                <c:pt idx="2">
                  <c:v>Shopping</c:v>
                </c:pt>
                <c:pt idx="3">
                  <c:v>Bills</c:v>
                </c:pt>
                <c:pt idx="4">
                  <c:v>Education</c:v>
                </c:pt>
              </c:strCache>
            </c:strRef>
          </c:cat>
          <c:val>
            <c:numRef>
              <c:f>Dashboard!$E$27:$E$32</c:f>
              <c:numCache>
                <c:formatCode>General</c:formatCode>
                <c:ptCount val="6"/>
                <c:pt idx="0">
                  <c:v>530</c:v>
                </c:pt>
                <c:pt idx="1">
                  <c:v>230</c:v>
                </c:pt>
                <c:pt idx="2">
                  <c:v>1800</c:v>
                </c:pt>
                <c:pt idx="3">
                  <c:v>1100</c:v>
                </c:pt>
                <c:pt idx="4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28-4D57-BF6D-8E036A4D337D}"/>
            </c:ext>
          </c:extLst>
        </c:ser>
        <c:ser>
          <c:idx val="2"/>
          <c:order val="2"/>
          <c:tx>
            <c:strRef>
              <c:f>Dashboard!$F$25:$F$26</c:f>
              <c:strCache>
                <c:ptCount val="2"/>
                <c:pt idx="1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Dashboard!$B$27:$C$32</c:f>
              <c:strCache>
                <c:ptCount val="5"/>
                <c:pt idx="0">
                  <c:v>Food</c:v>
                </c:pt>
                <c:pt idx="1">
                  <c:v>Transport</c:v>
                </c:pt>
                <c:pt idx="2">
                  <c:v>Shopping</c:v>
                </c:pt>
                <c:pt idx="3">
                  <c:v>Bills</c:v>
                </c:pt>
                <c:pt idx="4">
                  <c:v>Education</c:v>
                </c:pt>
              </c:strCache>
            </c:strRef>
          </c:cat>
          <c:val>
            <c:numRef>
              <c:f>Dashboard!$F$27:$F$32</c:f>
              <c:numCache>
                <c:formatCode>General</c:formatCode>
                <c:ptCount val="6"/>
                <c:pt idx="0">
                  <c:v>1160</c:v>
                </c:pt>
                <c:pt idx="1">
                  <c:v>580</c:v>
                </c:pt>
                <c:pt idx="2">
                  <c:v>3950</c:v>
                </c:pt>
                <c:pt idx="3">
                  <c:v>2400</c:v>
                </c:pt>
                <c:pt idx="4">
                  <c:v>1450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28-4D57-BF6D-8E036A4D33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361950</xdr:colOff>
      <xdr:row>0</xdr:row>
      <xdr:rowOff>185737</xdr:rowOff>
    </xdr:from>
    <xdr:to>
      <xdr:col>17</xdr:col>
      <xdr:colOff>142875</xdr:colOff>
      <xdr:row>11</xdr:row>
      <xdr:rowOff>71437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428625</xdr:colOff>
      <xdr:row>12</xdr:row>
      <xdr:rowOff>33337</xdr:rowOff>
    </xdr:from>
    <xdr:to>
      <xdr:col>17</xdr:col>
      <xdr:colOff>85725</xdr:colOff>
      <xdr:row>23</xdr:row>
      <xdr:rowOff>9525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200025</xdr:colOff>
      <xdr:row>24</xdr:row>
      <xdr:rowOff>28575</xdr:rowOff>
    </xdr:from>
    <xdr:to>
      <xdr:col>12</xdr:col>
      <xdr:colOff>419100</xdr:colOff>
      <xdr:row>35</xdr:row>
      <xdr:rowOff>28575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topLeftCell="A7" workbookViewId="0">
      <selection activeCell="D8" sqref="D8"/>
    </sheetView>
  </sheetViews>
  <sheetFormatPr defaultRowHeight="15" x14ac:dyDescent="0.25"/>
  <cols>
    <col min="1" max="1" width="13.85546875" customWidth="1"/>
    <col min="2" max="2" width="16.7109375" customWidth="1"/>
    <col min="3" max="3" width="17.140625" customWidth="1"/>
    <col min="4" max="4" width="16.5703125" customWidth="1"/>
    <col min="5" max="5" width="13" customWidth="1"/>
    <col min="6" max="6" width="19.28515625" customWidth="1"/>
    <col min="7" max="7" width="13" customWidth="1"/>
    <col min="8" max="8" width="9.140625" customWidth="1"/>
    <col min="11" max="11" width="13" customWidth="1"/>
    <col min="12" max="12" width="16.7109375" customWidth="1"/>
    <col min="13" max="13" width="15.28515625" customWidth="1"/>
    <col min="14" max="14" width="17.85546875" customWidth="1"/>
    <col min="15" max="15" width="11.85546875" customWidth="1"/>
    <col min="16" max="16" width="17.7109375" customWidth="1"/>
    <col min="17" max="17" width="16.140625" customWidth="1"/>
  </cols>
  <sheetData>
    <row r="1" spans="1:17" ht="30" customHeight="1" x14ac:dyDescent="0.4">
      <c r="A1" s="6" t="s">
        <v>53</v>
      </c>
      <c r="B1" s="7"/>
      <c r="C1" s="7"/>
      <c r="D1" s="7"/>
      <c r="E1" s="7"/>
      <c r="F1" s="7"/>
      <c r="G1" s="7"/>
      <c r="H1" s="7"/>
      <c r="K1" s="8" t="s">
        <v>54</v>
      </c>
      <c r="L1" s="9"/>
      <c r="M1" s="9"/>
      <c r="N1" s="9"/>
      <c r="O1" s="9"/>
      <c r="P1" s="9"/>
      <c r="Q1" s="9"/>
    </row>
    <row r="2" spans="1:17" x14ac:dyDescent="0.25">
      <c r="A2" s="18" t="s">
        <v>0</v>
      </c>
      <c r="B2" s="18" t="s">
        <v>1</v>
      </c>
      <c r="C2" s="18" t="s">
        <v>2</v>
      </c>
      <c r="D2" s="18" t="s">
        <v>3</v>
      </c>
      <c r="E2" s="18" t="s">
        <v>4</v>
      </c>
      <c r="F2" s="18" t="s">
        <v>5</v>
      </c>
      <c r="G2" s="18" t="s">
        <v>6</v>
      </c>
      <c r="H2" s="19"/>
      <c r="K2" s="18" t="s">
        <v>0</v>
      </c>
      <c r="L2" s="18" t="s">
        <v>1</v>
      </c>
      <c r="M2" s="18" t="s">
        <v>2</v>
      </c>
      <c r="N2" s="18" t="s">
        <v>3</v>
      </c>
      <c r="O2" s="18" t="s">
        <v>4</v>
      </c>
      <c r="P2" s="18" t="s">
        <v>5</v>
      </c>
      <c r="Q2" s="18" t="s">
        <v>6</v>
      </c>
    </row>
    <row r="3" spans="1:17" x14ac:dyDescent="0.25">
      <c r="A3" s="11">
        <v>46083</v>
      </c>
      <c r="B3" s="10" t="s">
        <v>22</v>
      </c>
      <c r="C3" s="10" t="s">
        <v>7</v>
      </c>
      <c r="D3" s="10" t="s">
        <v>8</v>
      </c>
      <c r="E3" s="10">
        <v>220</v>
      </c>
      <c r="F3" s="10" t="s">
        <v>23</v>
      </c>
      <c r="G3" s="10" t="s">
        <v>24</v>
      </c>
      <c r="H3" s="3"/>
      <c r="K3" s="11">
        <v>46083</v>
      </c>
      <c r="L3" s="10" t="s">
        <v>39</v>
      </c>
      <c r="M3" s="10" t="s">
        <v>7</v>
      </c>
      <c r="N3" s="10" t="s">
        <v>8</v>
      </c>
      <c r="O3" s="10">
        <v>180</v>
      </c>
      <c r="P3" s="10" t="s">
        <v>23</v>
      </c>
      <c r="Q3" s="10" t="s">
        <v>24</v>
      </c>
    </row>
    <row r="4" spans="1:17" x14ac:dyDescent="0.25">
      <c r="A4" s="11">
        <v>46088</v>
      </c>
      <c r="B4" s="10" t="s">
        <v>22</v>
      </c>
      <c r="C4" s="10" t="s">
        <v>7</v>
      </c>
      <c r="D4" s="10" t="s">
        <v>9</v>
      </c>
      <c r="E4" s="10">
        <v>110</v>
      </c>
      <c r="F4" s="10" t="s">
        <v>25</v>
      </c>
      <c r="G4" s="10" t="s">
        <v>28</v>
      </c>
      <c r="H4" s="3"/>
      <c r="K4" s="11">
        <v>46089</v>
      </c>
      <c r="L4" s="10" t="s">
        <v>39</v>
      </c>
      <c r="M4" s="10" t="s">
        <v>10</v>
      </c>
      <c r="N4" s="10" t="s">
        <v>11</v>
      </c>
      <c r="O4" s="10">
        <v>140</v>
      </c>
      <c r="P4" s="10" t="s">
        <v>25</v>
      </c>
      <c r="Q4" s="10" t="s">
        <v>26</v>
      </c>
    </row>
    <row r="5" spans="1:17" ht="30" x14ac:dyDescent="0.25">
      <c r="A5" s="11">
        <v>46092</v>
      </c>
      <c r="B5" s="10" t="s">
        <v>22</v>
      </c>
      <c r="C5" s="10" t="s">
        <v>13</v>
      </c>
      <c r="D5" s="10" t="s">
        <v>14</v>
      </c>
      <c r="E5" s="10">
        <v>750</v>
      </c>
      <c r="F5" s="10" t="s">
        <v>27</v>
      </c>
      <c r="G5" s="10" t="s">
        <v>33</v>
      </c>
      <c r="H5" s="3"/>
      <c r="K5" s="11">
        <v>46093</v>
      </c>
      <c r="L5" s="10" t="s">
        <v>39</v>
      </c>
      <c r="M5" s="10" t="s">
        <v>15</v>
      </c>
      <c r="N5" s="10" t="s">
        <v>16</v>
      </c>
      <c r="O5" s="10">
        <v>300</v>
      </c>
      <c r="P5" s="10" t="s">
        <v>23</v>
      </c>
      <c r="Q5" s="10" t="s">
        <v>32</v>
      </c>
    </row>
    <row r="6" spans="1:17" ht="30" customHeight="1" x14ac:dyDescent="0.25">
      <c r="A6" s="11">
        <v>46099</v>
      </c>
      <c r="B6" s="10" t="s">
        <v>22</v>
      </c>
      <c r="C6" s="10" t="s">
        <v>17</v>
      </c>
      <c r="D6" s="10" t="s">
        <v>18</v>
      </c>
      <c r="E6" s="10">
        <v>950</v>
      </c>
      <c r="F6" s="10" t="s">
        <v>27</v>
      </c>
      <c r="G6" s="10" t="s">
        <v>34</v>
      </c>
      <c r="H6" s="3"/>
      <c r="K6" s="11">
        <v>46098</v>
      </c>
      <c r="L6" s="10" t="s">
        <v>39</v>
      </c>
      <c r="M6" s="10" t="s">
        <v>17</v>
      </c>
      <c r="N6" s="10" t="s">
        <v>18</v>
      </c>
      <c r="O6" s="10">
        <v>800</v>
      </c>
      <c r="P6" s="10" t="s">
        <v>27</v>
      </c>
      <c r="Q6" s="10" t="s">
        <v>34</v>
      </c>
    </row>
    <row r="7" spans="1:17" x14ac:dyDescent="0.25">
      <c r="A7" s="11">
        <v>46105</v>
      </c>
      <c r="B7" s="10" t="s">
        <v>22</v>
      </c>
      <c r="C7" s="10" t="s">
        <v>10</v>
      </c>
      <c r="D7" s="10" t="s">
        <v>12</v>
      </c>
      <c r="E7" s="10">
        <v>90</v>
      </c>
      <c r="F7" s="10" t="s">
        <v>25</v>
      </c>
      <c r="G7" s="10" t="s">
        <v>30</v>
      </c>
      <c r="H7" s="3"/>
      <c r="K7" s="11">
        <v>46103</v>
      </c>
      <c r="L7" s="10" t="s">
        <v>39</v>
      </c>
      <c r="M7" s="10" t="s">
        <v>7</v>
      </c>
      <c r="N7" s="10" t="s">
        <v>9</v>
      </c>
      <c r="O7" s="10">
        <v>100</v>
      </c>
      <c r="P7" s="10" t="s">
        <v>25</v>
      </c>
      <c r="Q7" s="10" t="s">
        <v>28</v>
      </c>
    </row>
    <row r="8" spans="1:17" x14ac:dyDescent="0.25">
      <c r="A8" s="11">
        <v>46108</v>
      </c>
      <c r="B8" s="10" t="s">
        <v>22</v>
      </c>
      <c r="C8" s="10" t="s">
        <v>19</v>
      </c>
      <c r="D8" s="10" t="s">
        <v>20</v>
      </c>
      <c r="E8" s="10">
        <v>600</v>
      </c>
      <c r="F8" s="10" t="s">
        <v>23</v>
      </c>
      <c r="G8" s="10" t="s">
        <v>29</v>
      </c>
      <c r="H8" s="3"/>
      <c r="K8" s="11">
        <v>46110</v>
      </c>
      <c r="L8" s="10" t="s">
        <v>39</v>
      </c>
      <c r="M8" s="10" t="s">
        <v>19</v>
      </c>
      <c r="N8" s="10" t="s">
        <v>20</v>
      </c>
      <c r="O8" s="10">
        <v>500</v>
      </c>
      <c r="P8" s="10" t="s">
        <v>23</v>
      </c>
      <c r="Q8" s="10" t="s">
        <v>29</v>
      </c>
    </row>
    <row r="9" spans="1:17" x14ac:dyDescent="0.25">
      <c r="A9" s="12"/>
      <c r="B9" s="12"/>
      <c r="C9" s="12"/>
      <c r="D9" s="13" t="s">
        <v>38</v>
      </c>
      <c r="E9" s="14">
        <f>SUM(E3:E8)</f>
        <v>2720</v>
      </c>
      <c r="F9" s="12"/>
      <c r="G9" s="12"/>
      <c r="K9" s="15"/>
      <c r="L9" s="15"/>
      <c r="M9" s="15"/>
      <c r="N9" s="16" t="s">
        <v>38</v>
      </c>
      <c r="O9" s="16">
        <f>SUM(O3:O8)</f>
        <v>2020</v>
      </c>
      <c r="P9" s="15"/>
      <c r="Q9" s="15"/>
    </row>
    <row r="11" spans="1:17" x14ac:dyDescent="0.25">
      <c r="A11" s="18" t="s">
        <v>0</v>
      </c>
      <c r="B11" s="18" t="s">
        <v>1</v>
      </c>
      <c r="C11" s="18" t="s">
        <v>2</v>
      </c>
      <c r="D11" s="18" t="s">
        <v>3</v>
      </c>
      <c r="E11" s="18" t="s">
        <v>4</v>
      </c>
      <c r="F11" s="18" t="s">
        <v>5</v>
      </c>
      <c r="G11" s="18" t="s">
        <v>6</v>
      </c>
      <c r="K11" s="18" t="s">
        <v>0</v>
      </c>
      <c r="L11" s="18" t="s">
        <v>1</v>
      </c>
      <c r="M11" s="18" t="s">
        <v>2</v>
      </c>
      <c r="N11" s="18" t="s">
        <v>3</v>
      </c>
      <c r="O11" s="18" t="s">
        <v>4</v>
      </c>
      <c r="P11" s="18" t="s">
        <v>5</v>
      </c>
      <c r="Q11" s="18" t="s">
        <v>6</v>
      </c>
    </row>
    <row r="12" spans="1:17" x14ac:dyDescent="0.25">
      <c r="A12" s="11">
        <v>46113</v>
      </c>
      <c r="B12" s="10" t="s">
        <v>22</v>
      </c>
      <c r="C12" s="10" t="s">
        <v>7</v>
      </c>
      <c r="D12" s="10" t="s">
        <v>8</v>
      </c>
      <c r="E12" s="10">
        <v>300</v>
      </c>
      <c r="F12" s="10" t="s">
        <v>23</v>
      </c>
      <c r="G12" s="10" t="s">
        <v>24</v>
      </c>
      <c r="K12" s="11">
        <v>46113</v>
      </c>
      <c r="L12" s="10" t="s">
        <v>39</v>
      </c>
      <c r="M12" s="10" t="s">
        <v>7</v>
      </c>
      <c r="N12" s="10" t="s">
        <v>8</v>
      </c>
      <c r="O12" s="10">
        <v>250</v>
      </c>
      <c r="P12" s="10" t="s">
        <v>23</v>
      </c>
      <c r="Q12" s="10" t="s">
        <v>24</v>
      </c>
    </row>
    <row r="13" spans="1:17" x14ac:dyDescent="0.25">
      <c r="A13" s="11">
        <v>46118</v>
      </c>
      <c r="B13" s="10" t="s">
        <v>22</v>
      </c>
      <c r="C13" s="10" t="s">
        <v>10</v>
      </c>
      <c r="D13" s="10" t="s">
        <v>11</v>
      </c>
      <c r="E13" s="10">
        <v>150</v>
      </c>
      <c r="F13" s="10" t="s">
        <v>25</v>
      </c>
      <c r="G13" s="10" t="s">
        <v>26</v>
      </c>
      <c r="K13" s="11">
        <v>46119</v>
      </c>
      <c r="L13" s="10" t="s">
        <v>39</v>
      </c>
      <c r="M13" s="10" t="s">
        <v>10</v>
      </c>
      <c r="N13" s="10" t="s">
        <v>12</v>
      </c>
      <c r="O13" s="10">
        <v>90</v>
      </c>
      <c r="P13" s="10" t="s">
        <v>25</v>
      </c>
      <c r="Q13" s="10" t="s">
        <v>30</v>
      </c>
    </row>
    <row r="14" spans="1:17" ht="30" x14ac:dyDescent="0.25">
      <c r="A14" s="11">
        <v>46125</v>
      </c>
      <c r="B14" s="10" t="s">
        <v>22</v>
      </c>
      <c r="C14" s="10" t="s">
        <v>15</v>
      </c>
      <c r="D14" s="10" t="s">
        <v>16</v>
      </c>
      <c r="E14" s="10">
        <v>350</v>
      </c>
      <c r="F14" s="10" t="s">
        <v>23</v>
      </c>
      <c r="G14" s="10" t="s">
        <v>32</v>
      </c>
      <c r="K14" s="11">
        <v>46123</v>
      </c>
      <c r="L14" s="10" t="s">
        <v>39</v>
      </c>
      <c r="M14" s="10" t="s">
        <v>13</v>
      </c>
      <c r="N14" s="10" t="s">
        <v>14</v>
      </c>
      <c r="O14" s="10">
        <v>700</v>
      </c>
      <c r="P14" s="10" t="s">
        <v>27</v>
      </c>
      <c r="Q14" s="10" t="s">
        <v>33</v>
      </c>
    </row>
    <row r="15" spans="1:17" ht="30" x14ac:dyDescent="0.25">
      <c r="A15" s="11">
        <v>46128</v>
      </c>
      <c r="B15" s="10" t="s">
        <v>22</v>
      </c>
      <c r="C15" s="10" t="s">
        <v>17</v>
      </c>
      <c r="D15" s="10" t="s">
        <v>18</v>
      </c>
      <c r="E15" s="10">
        <v>1200</v>
      </c>
      <c r="F15" s="10" t="s">
        <v>27</v>
      </c>
      <c r="G15" s="10" t="s">
        <v>31</v>
      </c>
      <c r="K15" s="11">
        <v>46127</v>
      </c>
      <c r="L15" s="10" t="s">
        <v>39</v>
      </c>
      <c r="M15" s="10" t="s">
        <v>15</v>
      </c>
      <c r="N15" s="10" t="s">
        <v>16</v>
      </c>
      <c r="O15" s="10">
        <v>320</v>
      </c>
      <c r="P15" s="10" t="s">
        <v>23</v>
      </c>
      <c r="Q15" s="10" t="s">
        <v>32</v>
      </c>
    </row>
    <row r="16" spans="1:17" x14ac:dyDescent="0.25">
      <c r="A16" s="11">
        <v>46135</v>
      </c>
      <c r="B16" s="10" t="s">
        <v>22</v>
      </c>
      <c r="C16" s="10" t="s">
        <v>10</v>
      </c>
      <c r="D16" s="10" t="s">
        <v>12</v>
      </c>
      <c r="E16" s="10">
        <v>110</v>
      </c>
      <c r="F16" s="10" t="s">
        <v>25</v>
      </c>
      <c r="G16" s="10" t="s">
        <v>30</v>
      </c>
      <c r="K16" s="11">
        <v>46132</v>
      </c>
      <c r="L16" s="10" t="s">
        <v>39</v>
      </c>
      <c r="M16" s="10" t="s">
        <v>17</v>
      </c>
      <c r="N16" s="10" t="s">
        <v>18</v>
      </c>
      <c r="O16" s="10">
        <v>1000</v>
      </c>
      <c r="P16" s="10" t="s">
        <v>27</v>
      </c>
      <c r="Q16" s="10" t="s">
        <v>31</v>
      </c>
    </row>
    <row r="17" spans="1:17" x14ac:dyDescent="0.25">
      <c r="A17" s="11">
        <v>46140</v>
      </c>
      <c r="B17" s="10" t="s">
        <v>22</v>
      </c>
      <c r="C17" s="10" t="s">
        <v>19</v>
      </c>
      <c r="D17" s="10" t="s">
        <v>20</v>
      </c>
      <c r="E17" s="10">
        <v>700</v>
      </c>
      <c r="F17" s="10" t="s">
        <v>23</v>
      </c>
      <c r="G17" s="10" t="s">
        <v>29</v>
      </c>
      <c r="K17" s="11">
        <v>46139</v>
      </c>
      <c r="L17" s="10" t="s">
        <v>39</v>
      </c>
      <c r="M17" s="10" t="s">
        <v>19</v>
      </c>
      <c r="N17" s="10" t="s">
        <v>20</v>
      </c>
      <c r="O17" s="10">
        <v>600</v>
      </c>
      <c r="P17" s="10" t="s">
        <v>23</v>
      </c>
      <c r="Q17" s="10" t="s">
        <v>29</v>
      </c>
    </row>
    <row r="18" spans="1:17" x14ac:dyDescent="0.25">
      <c r="A18" s="15"/>
      <c r="B18" s="15"/>
      <c r="C18" s="15"/>
      <c r="D18" s="16" t="s">
        <v>38</v>
      </c>
      <c r="E18" s="16">
        <f>SUM(E12:E17)</f>
        <v>2810</v>
      </c>
      <c r="F18" s="15"/>
      <c r="G18" s="15"/>
      <c r="K18" s="15"/>
      <c r="L18" s="15"/>
      <c r="M18" s="15"/>
      <c r="N18" s="13" t="s">
        <v>38</v>
      </c>
      <c r="O18" s="16">
        <f>SUM(O12:O17)</f>
        <v>2960</v>
      </c>
      <c r="P18" s="15"/>
      <c r="Q18" s="15"/>
    </row>
    <row r="19" spans="1:17" x14ac:dyDescent="0.25">
      <c r="A19" s="2"/>
      <c r="B19" s="2"/>
      <c r="C19" s="2"/>
      <c r="K19" s="17"/>
      <c r="L19" s="17"/>
      <c r="M19" s="17"/>
      <c r="N19" s="17"/>
      <c r="O19" s="17"/>
      <c r="P19" s="17"/>
      <c r="Q19" s="17"/>
    </row>
  </sheetData>
  <mergeCells count="2">
    <mergeCell ref="A1:H1"/>
    <mergeCell ref="K1:Q1"/>
  </mergeCells>
  <pageMargins left="0.75" right="0.75" top="1" bottom="1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Categories!$A$2:$A$9</xm:f>
          </x14:formula1>
          <xm:sqref>C20:C101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zoomScale="80" zoomScaleNormal="80" workbookViewId="0">
      <selection activeCell="E5" sqref="E5"/>
    </sheetView>
  </sheetViews>
  <sheetFormatPr defaultRowHeight="15" x14ac:dyDescent="0.25"/>
  <cols>
    <col min="1" max="1" width="33.5703125" customWidth="1"/>
    <col min="2" max="2" width="41.28515625" customWidth="1"/>
  </cols>
  <sheetData>
    <row r="1" spans="1:2" ht="27" x14ac:dyDescent="0.5">
      <c r="A1" s="47" t="s">
        <v>2</v>
      </c>
      <c r="B1" s="48" t="s">
        <v>3</v>
      </c>
    </row>
    <row r="2" spans="1:2" ht="23.25" x14ac:dyDescent="0.35">
      <c r="A2" s="46" t="s">
        <v>60</v>
      </c>
      <c r="B2" s="46" t="s">
        <v>8</v>
      </c>
    </row>
    <row r="3" spans="1:2" ht="23.25" x14ac:dyDescent="0.35">
      <c r="A3" s="46" t="s">
        <v>7</v>
      </c>
      <c r="B3" s="46" t="s">
        <v>9</v>
      </c>
    </row>
    <row r="4" spans="1:2" ht="23.25" x14ac:dyDescent="0.35">
      <c r="A4" s="46" t="s">
        <v>10</v>
      </c>
      <c r="B4" s="46" t="s">
        <v>11</v>
      </c>
    </row>
    <row r="5" spans="1:2" ht="23.25" x14ac:dyDescent="0.35">
      <c r="A5" s="46" t="s">
        <v>10</v>
      </c>
      <c r="B5" s="46" t="s">
        <v>12</v>
      </c>
    </row>
    <row r="6" spans="1:2" ht="23.25" x14ac:dyDescent="0.35">
      <c r="A6" s="46" t="s">
        <v>13</v>
      </c>
      <c r="B6" s="46" t="s">
        <v>14</v>
      </c>
    </row>
    <row r="7" spans="1:2" ht="23.25" x14ac:dyDescent="0.35">
      <c r="A7" s="46" t="s">
        <v>15</v>
      </c>
      <c r="B7" s="46" t="s">
        <v>16</v>
      </c>
    </row>
    <row r="8" spans="1:2" ht="23.25" x14ac:dyDescent="0.35">
      <c r="A8" s="46" t="s">
        <v>17</v>
      </c>
      <c r="B8" s="46" t="s">
        <v>18</v>
      </c>
    </row>
    <row r="9" spans="1:2" ht="23.25" x14ac:dyDescent="0.35">
      <c r="A9" s="46" t="s">
        <v>19</v>
      </c>
      <c r="B9" s="46" t="s">
        <v>20</v>
      </c>
    </row>
    <row r="10" spans="1:2" x14ac:dyDescent="0.25">
      <c r="A10" s="20"/>
      <c r="B10" s="20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selection activeCell="K7" sqref="K7"/>
    </sheetView>
  </sheetViews>
  <sheetFormatPr defaultRowHeight="15" x14ac:dyDescent="0.25"/>
  <cols>
    <col min="1" max="1" width="22.28515625" customWidth="1"/>
    <col min="2" max="2" width="24.140625" customWidth="1"/>
    <col min="3" max="3" width="6.140625" customWidth="1"/>
    <col min="4" max="4" width="16" customWidth="1"/>
    <col min="5" max="5" width="22.140625" customWidth="1"/>
    <col min="6" max="6" width="25.42578125" customWidth="1"/>
    <col min="7" max="7" width="0.28515625" customWidth="1"/>
    <col min="8" max="9" width="9.140625" hidden="1" customWidth="1"/>
  </cols>
  <sheetData>
    <row r="1" spans="1:12" ht="33.75" x14ac:dyDescent="0.65">
      <c r="A1" s="31" t="s">
        <v>62</v>
      </c>
      <c r="B1" s="31"/>
      <c r="C1" s="32"/>
      <c r="D1" s="23" t="s">
        <v>61</v>
      </c>
      <c r="E1" s="33" t="s">
        <v>63</v>
      </c>
      <c r="F1" s="33"/>
      <c r="G1" s="33"/>
      <c r="H1" s="33"/>
      <c r="I1" s="33"/>
      <c r="J1" s="25"/>
      <c r="K1" s="25"/>
      <c r="L1" s="25"/>
    </row>
    <row r="2" spans="1:12" ht="20.25" x14ac:dyDescent="0.3">
      <c r="A2" s="34" t="s">
        <v>35</v>
      </c>
      <c r="B2" s="35" t="s">
        <v>21</v>
      </c>
      <c r="C2" s="22"/>
      <c r="D2" s="34" t="s">
        <v>40</v>
      </c>
      <c r="E2" s="35" t="s">
        <v>21</v>
      </c>
      <c r="F2" s="26"/>
    </row>
    <row r="3" spans="1:12" ht="20.25" x14ac:dyDescent="0.3">
      <c r="A3" s="28" t="s">
        <v>37</v>
      </c>
      <c r="B3" s="28">
        <f>SUMIFS(Raw_Data!E:E, Raw_Data!A:A, "&gt;=01-03-2026", Raw_Data!A:A, "&lt;=31-03-2026")</f>
        <v>2720</v>
      </c>
      <c r="C3" s="22"/>
      <c r="D3" s="28" t="s">
        <v>37</v>
      </c>
      <c r="E3" s="28">
        <f>SUMIFS(Raw_Data!O:O, Raw_Data!K:K, "&gt;=01-03-2026", Raw_Data!K:K, "&lt;=31-03-2026")</f>
        <v>2020</v>
      </c>
      <c r="F3" s="26"/>
    </row>
    <row r="4" spans="1:12" ht="20.25" x14ac:dyDescent="0.3">
      <c r="A4" s="28" t="s">
        <v>36</v>
      </c>
      <c r="B4" s="28">
        <f>SUMIFS(Raw_Data!E:E, Raw_Data!A:A, "&gt;=01-04-2026", Raw_Data!A:A, "&lt;=30-04-2026")</f>
        <v>2810</v>
      </c>
      <c r="C4" s="22"/>
      <c r="D4" s="28" t="s">
        <v>36</v>
      </c>
      <c r="E4" s="28">
        <f>SUMIFS(Raw_Data!O:O, Raw_Data!K:K, "&gt;=01-04-2026", Raw_Data!K:K, "&lt;=30-04-2026")</f>
        <v>2960</v>
      </c>
      <c r="F4" s="26"/>
    </row>
    <row r="5" spans="1:12" ht="20.25" x14ac:dyDescent="0.3">
      <c r="A5" s="28" t="s">
        <v>38</v>
      </c>
      <c r="B5" s="28">
        <f>SUM(B3+B4)</f>
        <v>5530</v>
      </c>
      <c r="C5" s="22"/>
      <c r="D5" s="28" t="s">
        <v>38</v>
      </c>
      <c r="E5" s="28">
        <f>SUM(E3+E4)</f>
        <v>4980</v>
      </c>
      <c r="F5" s="26"/>
    </row>
    <row r="6" spans="1:12" ht="20.25" x14ac:dyDescent="0.3">
      <c r="A6" s="28" t="s">
        <v>41</v>
      </c>
      <c r="B6" s="29">
        <f>(B4- B3) /B3</f>
        <v>3.3088235294117647E-2</v>
      </c>
      <c r="C6" s="22"/>
      <c r="D6" s="28" t="s">
        <v>41</v>
      </c>
      <c r="E6" s="29">
        <f>(E4-E3)/E3</f>
        <v>0.46534653465346537</v>
      </c>
      <c r="F6" s="27"/>
    </row>
    <row r="7" spans="1:12" ht="20.25" x14ac:dyDescent="0.3">
      <c r="A7" s="28" t="s">
        <v>42</v>
      </c>
      <c r="B7" s="30" t="str">
        <f>IF(B6&gt;0.3,"High Increase",IF(B6&gt;0.01,"Slight Increase",IF(B6&lt;0,"Reduced Spending","No Change")))</f>
        <v>Slight Increase</v>
      </c>
      <c r="C7" s="22"/>
      <c r="D7" s="28" t="s">
        <v>42</v>
      </c>
      <c r="E7" s="28" t="str">
        <f>IF(E6&gt;0.3,"High Increase",IF(E6&gt;0.01,"Slight Increase",IF(E6&lt;0,"Reduced Spending","No Change")))</f>
        <v>High Increase</v>
      </c>
      <c r="F7" s="26"/>
    </row>
    <row r="8" spans="1:12" ht="21" x14ac:dyDescent="0.35">
      <c r="D8" s="21"/>
      <c r="E8" s="21"/>
    </row>
    <row r="12" spans="1:12" x14ac:dyDescent="0.25">
      <c r="D12" s="1"/>
    </row>
    <row r="13" spans="1:12" x14ac:dyDescent="0.25">
      <c r="D13" s="2"/>
    </row>
    <row r="14" spans="1:12" x14ac:dyDescent="0.25">
      <c r="D14" s="2"/>
    </row>
    <row r="15" spans="1:12" x14ac:dyDescent="0.25">
      <c r="D15" s="2"/>
    </row>
    <row r="16" spans="1:12" x14ac:dyDescent="0.25">
      <c r="D16" s="2"/>
    </row>
  </sheetData>
  <mergeCells count="1">
    <mergeCell ref="E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J46"/>
  <sheetViews>
    <sheetView tabSelected="1" topLeftCell="A40" workbookViewId="0">
      <selection activeCell="D50" sqref="D50"/>
    </sheetView>
  </sheetViews>
  <sheetFormatPr defaultRowHeight="15" x14ac:dyDescent="0.25"/>
  <cols>
    <col min="3" max="3" width="21" customWidth="1"/>
    <col min="4" max="4" width="16.85546875" customWidth="1"/>
    <col min="5" max="5" width="13" customWidth="1"/>
    <col min="8" max="8" width="10.7109375" customWidth="1"/>
    <col min="9" max="9" width="11.42578125" customWidth="1"/>
    <col min="10" max="10" width="18.5703125" customWidth="1"/>
  </cols>
  <sheetData>
    <row r="1" spans="3:10" ht="18" x14ac:dyDescent="0.25">
      <c r="C1" s="40" t="s">
        <v>47</v>
      </c>
      <c r="D1" s="40" t="s">
        <v>48</v>
      </c>
    </row>
    <row r="2" spans="3:10" ht="25.5" customHeight="1" x14ac:dyDescent="0.25">
      <c r="C2" s="36"/>
      <c r="D2" s="36"/>
    </row>
    <row r="3" spans="3:10" ht="35.25" customHeight="1" x14ac:dyDescent="0.25">
      <c r="C3" s="37" t="s">
        <v>21</v>
      </c>
      <c r="D3" s="37">
        <f>5530+4980</f>
        <v>10510</v>
      </c>
      <c r="I3" s="44" t="s">
        <v>51</v>
      </c>
      <c r="J3" s="44" t="s">
        <v>52</v>
      </c>
    </row>
    <row r="4" spans="3:10" ht="18" x14ac:dyDescent="0.25">
      <c r="C4" s="37" t="s">
        <v>49</v>
      </c>
      <c r="D4" s="37" t="str">
        <f>IF(2960&gt;2810,"Kashish","Kishan")</f>
        <v>Kashish</v>
      </c>
      <c r="I4" s="37" t="s">
        <v>22</v>
      </c>
      <c r="J4" s="37">
        <v>2810</v>
      </c>
    </row>
    <row r="5" spans="3:10" ht="36" x14ac:dyDescent="0.25">
      <c r="C5" s="37" t="s">
        <v>50</v>
      </c>
      <c r="D5" s="37" t="str">
        <f>IF(G6&gt;B6,"Kishan","Kashish")</f>
        <v>Kashish</v>
      </c>
      <c r="I5" s="37" t="s">
        <v>39</v>
      </c>
      <c r="J5" s="37">
        <v>2960</v>
      </c>
    </row>
    <row r="14" spans="3:10" ht="15.75" x14ac:dyDescent="0.25">
      <c r="C14" s="1"/>
      <c r="D14" s="1"/>
      <c r="E14" s="1"/>
      <c r="H14" s="43" t="s">
        <v>40</v>
      </c>
      <c r="I14" s="43" t="s">
        <v>22</v>
      </c>
      <c r="J14" s="43" t="s">
        <v>39</v>
      </c>
    </row>
    <row r="15" spans="3:10" ht="15.75" x14ac:dyDescent="0.25">
      <c r="C15" s="2"/>
      <c r="D15" s="2"/>
      <c r="E15" s="2"/>
      <c r="H15" s="38" t="s">
        <v>37</v>
      </c>
      <c r="I15" s="38">
        <v>2720</v>
      </c>
      <c r="J15" s="38">
        <v>2020</v>
      </c>
    </row>
    <row r="16" spans="3:10" ht="15.75" x14ac:dyDescent="0.25">
      <c r="C16" s="2"/>
      <c r="D16" s="2"/>
      <c r="E16" s="2"/>
      <c r="H16" s="38" t="s">
        <v>36</v>
      </c>
      <c r="I16" s="38">
        <v>2810</v>
      </c>
      <c r="J16" s="38">
        <v>2960</v>
      </c>
    </row>
    <row r="21" spans="3:6" x14ac:dyDescent="0.25">
      <c r="E21" s="4"/>
    </row>
    <row r="26" spans="3:6" ht="18" x14ac:dyDescent="0.25">
      <c r="C26" s="40" t="s">
        <v>2</v>
      </c>
      <c r="D26" s="40" t="s">
        <v>22</v>
      </c>
      <c r="E26" s="41" t="s">
        <v>39</v>
      </c>
      <c r="F26" s="41" t="s">
        <v>38</v>
      </c>
    </row>
    <row r="27" spans="3:6" ht="18" x14ac:dyDescent="0.25">
      <c r="C27" s="37" t="s">
        <v>7</v>
      </c>
      <c r="D27" s="37">
        <f>SUMIF(Raw_Data!C:C,"Food",Raw_Data!E:E)</f>
        <v>630</v>
      </c>
      <c r="E27" s="37">
        <f>SUMIF(Raw_Data!M:M,"Food",Raw_Data!O:O)</f>
        <v>530</v>
      </c>
      <c r="F27" s="42">
        <f>SUM(D27+E27)</f>
        <v>1160</v>
      </c>
    </row>
    <row r="28" spans="3:6" ht="18" x14ac:dyDescent="0.25">
      <c r="C28" s="37" t="s">
        <v>10</v>
      </c>
      <c r="D28" s="37">
        <f>SUMIF(Raw_Data!C:C,"Transport",Raw_Data!E:E)</f>
        <v>350</v>
      </c>
      <c r="E28" s="37">
        <f>SUMIF(Raw_Data!M:M,"Transport",Raw_Data!O:O)</f>
        <v>230</v>
      </c>
      <c r="F28" s="42">
        <f t="shared" ref="F28:F29" si="0">SUM(D28+E28)</f>
        <v>580</v>
      </c>
    </row>
    <row r="29" spans="3:6" ht="18" x14ac:dyDescent="0.25">
      <c r="C29" s="37" t="s">
        <v>17</v>
      </c>
      <c r="D29" s="37">
        <f>SUMIF(Raw_Data!C:C,"Shopping",Raw_Data!E:E)</f>
        <v>2150</v>
      </c>
      <c r="E29" s="37">
        <f>SUMIF(Raw_Data!M:M,"Shopping",Raw_Data!O:O)</f>
        <v>1800</v>
      </c>
      <c r="F29" s="42">
        <f t="shared" si="0"/>
        <v>3950</v>
      </c>
    </row>
    <row r="30" spans="3:6" ht="18" x14ac:dyDescent="0.25">
      <c r="C30" s="37" t="s">
        <v>19</v>
      </c>
      <c r="D30" s="37">
        <f>SUMIF(Raw_Data!C:C,"Bills",Raw_Data!E:E)</f>
        <v>1300</v>
      </c>
      <c r="E30" s="37">
        <f>SUMIF(Raw_Data!M:M,"Bills",Raw_Data!O:O)</f>
        <v>1100</v>
      </c>
      <c r="F30" s="42">
        <f>SUM(D30+E30)</f>
        <v>2400</v>
      </c>
    </row>
    <row r="31" spans="3:6" ht="18" x14ac:dyDescent="0.25">
      <c r="C31" s="37" t="s">
        <v>13</v>
      </c>
      <c r="D31" s="37">
        <f>SUMIF(Raw_Data!C:C,"education",Raw_Data!E:E)</f>
        <v>750</v>
      </c>
      <c r="E31" s="37">
        <f>SUMIF(Raw_Data!M:M,"Education",Raw_Data!O:O)</f>
        <v>700</v>
      </c>
      <c r="F31" s="42">
        <f>SUM(D31+E31)</f>
        <v>1450</v>
      </c>
    </row>
    <row r="42" spans="6:10" ht="27" x14ac:dyDescent="0.35">
      <c r="F42" s="45" t="s">
        <v>55</v>
      </c>
      <c r="G42" s="45"/>
      <c r="H42" s="45"/>
      <c r="I42" s="45"/>
      <c r="J42" s="45"/>
    </row>
    <row r="43" spans="6:10" ht="18" x14ac:dyDescent="0.25">
      <c r="F43" s="39" t="s">
        <v>56</v>
      </c>
      <c r="G43" s="39"/>
      <c r="H43" s="39"/>
      <c r="I43" s="39"/>
      <c r="J43" s="5"/>
    </row>
    <row r="44" spans="6:10" ht="18" x14ac:dyDescent="0.25">
      <c r="F44" s="39" t="s">
        <v>57</v>
      </c>
      <c r="G44" s="39"/>
      <c r="H44" s="39"/>
      <c r="I44" s="39"/>
      <c r="J44" s="5"/>
    </row>
    <row r="45" spans="6:10" ht="18" x14ac:dyDescent="0.25">
      <c r="F45" s="39" t="s">
        <v>58</v>
      </c>
      <c r="G45" s="39"/>
      <c r="H45" s="39"/>
      <c r="I45" s="39"/>
      <c r="J45" s="5"/>
    </row>
    <row r="46" spans="6:10" ht="18" x14ac:dyDescent="0.25">
      <c r="F46" s="39" t="s">
        <v>59</v>
      </c>
      <c r="G46" s="39"/>
      <c r="H46" s="39"/>
      <c r="I46" s="39"/>
      <c r="J46" s="5"/>
    </row>
  </sheetData>
  <mergeCells count="1">
    <mergeCell ref="F42:J42"/>
  </mergeCells>
  <pageMargins left="0.75" right="0.75" top="1" bottom="1" header="0.5" footer="0.5"/>
  <pageSetup paperSize="0" orientation="portrait" horizontalDpi="0" verticalDpi="0" copie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B10" sqref="B10"/>
    </sheetView>
  </sheetViews>
  <sheetFormatPr defaultRowHeight="15" x14ac:dyDescent="0.25"/>
  <cols>
    <col min="1" max="1" width="39.7109375" customWidth="1"/>
    <col min="2" max="2" width="37.140625" customWidth="1"/>
    <col min="3" max="3" width="19.85546875" customWidth="1"/>
  </cols>
  <sheetData>
    <row r="1" spans="1:3" ht="18" x14ac:dyDescent="0.25">
      <c r="A1" s="49" t="s">
        <v>43</v>
      </c>
      <c r="B1" s="49" t="s">
        <v>46</v>
      </c>
      <c r="C1" s="24"/>
    </row>
    <row r="2" spans="1:3" ht="18" x14ac:dyDescent="0.25">
      <c r="A2" s="50" t="s">
        <v>44</v>
      </c>
      <c r="B2" s="50" t="s">
        <v>45</v>
      </c>
      <c r="C2" s="24"/>
    </row>
    <row r="3" spans="1:3" ht="18" x14ac:dyDescent="0.25">
      <c r="A3" s="24"/>
      <c r="B3" s="24"/>
      <c r="C3" s="2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Categories</vt:lpstr>
      <vt:lpstr>Summary</vt:lpstr>
      <vt:lpstr>Dashboard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2026-04-14T06:34:17Z</dcterms:created>
  <dcterms:modified xsi:type="dcterms:W3CDTF">2026-04-14T16:23:09Z</dcterms:modified>
</cp:coreProperties>
</file>